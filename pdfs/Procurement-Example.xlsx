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afaelschober/Documents/SOL-ID/Procurement/"/>
    </mc:Choice>
  </mc:AlternateContent>
  <xr:revisionPtr revIDLastSave="0" documentId="13_ncr:1_{71BE4CE8-60B2-D94E-B40B-8C3175818EE4}" xr6:coauthVersionLast="47" xr6:coauthVersionMax="47" xr10:uidLastSave="{00000000-0000-0000-0000-000000000000}"/>
  <bookViews>
    <workbookView xWindow="0" yWindow="680" windowWidth="34200" windowHeight="21460" tabRatio="500" xr2:uid="{00000000-000D-0000-FFFF-FFFF00000000}"/>
  </bookViews>
  <sheets>
    <sheet name="Einkaufsplanun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1" l="1"/>
  <c r="C22" i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E22" i="1" l="1"/>
  <c r="G12" i="1"/>
  <c r="G22" i="1" s="1"/>
</calcChain>
</file>

<file path=xl/sharedStrings.xml><?xml version="1.0" encoding="utf-8"?>
<sst xmlns="http://schemas.openxmlformats.org/spreadsheetml/2006/main" count="39" uniqueCount="39">
  <si>
    <t>Stand: 24.03.2026   |   Bestand: Odoo live   |   Incoming: AB 04.12.25 (Lief. 15.08.26)</t>
  </si>
  <si>
    <t xml:space="preserve">  WIE FUNKTIONIERT DIESES TOOL?</t>
  </si>
  <si>
    <t xml:space="preserve">  SCHRITT 1 — Odoo-Export</t>
  </si>
  <si>
    <t>Produktliste aus Odoo in Input-Ordner legen → "Einkaufsplanung aktualisieren" sagen</t>
  </si>
  <si>
    <t xml:space="preserve">  SCHRITT 2 — AB einlesen</t>
  </si>
  <si>
    <t xml:space="preserve">  SCHRITT 3 — Zielmenge</t>
  </si>
  <si>
    <t xml:space="preserve">  LEGENDE:   🟡 Gelb = dein Input   |   🟢 Grün = genug vorhanden   |   🔴 Pink = bestellen!</t>
  </si>
  <si>
    <t>SKU
(Odoo)</t>
  </si>
  <si>
    <t>Gr.</t>
  </si>
  <si>
    <t>Aktueller
Bestand</t>
  </si>
  <si>
    <t>Incoming
(AB)</t>
  </si>
  <si>
    <t>Total
verfügbar</t>
  </si>
  <si>
    <t>Zu
bestellen</t>
  </si>
  <si>
    <t>ASICS Noosa Tri 16 | Laufschuh für Männer</t>
  </si>
  <si>
    <t>550252129-8</t>
  </si>
  <si>
    <t>8.0</t>
  </si>
  <si>
    <t>550252129-8.5</t>
  </si>
  <si>
    <t>8.5</t>
  </si>
  <si>
    <t>550252129-9</t>
  </si>
  <si>
    <t>9.0</t>
  </si>
  <si>
    <t>550252129-9.5</t>
  </si>
  <si>
    <t>9.5</t>
  </si>
  <si>
    <t>550252129-10</t>
  </si>
  <si>
    <t>10.0</t>
  </si>
  <si>
    <t>550252129-10.5</t>
  </si>
  <si>
    <t>10.5</t>
  </si>
  <si>
    <t>550252129-11</t>
  </si>
  <si>
    <t>11.0</t>
  </si>
  <si>
    <t>550252129-11.5</t>
  </si>
  <si>
    <t>11.5</t>
  </si>
  <si>
    <t>550252129-12</t>
  </si>
  <si>
    <t>12.0</t>
  </si>
  <si>
    <t>550252129-12.5</t>
  </si>
  <si>
    <t>12.5</t>
  </si>
  <si>
    <t>TOTAL</t>
  </si>
  <si>
    <t>Gelbe Spalte ausfüllen: Wie viele Paare pro Grösse für HW26? - z.B. historische Abverkäufe berücksichtigen</t>
  </si>
  <si>
    <t>Zielmenge Abverkauf bis SS27</t>
  </si>
  <si>
    <t>SOL-ID Athletes World — Einkaufsplanung SS27</t>
  </si>
  <si>
    <t>AB als PDF in Input-Ordner legen → Incoming wird automatisch aus AB eingelesen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</si>
</sst>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7"/>
      <color rgb="FFFFFFFF"/>
      <name val="Arial"/>
      <family val="2"/>
    </font>
    <font>
      <sz val="9"/>
      <color rgb="FF888888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333333"/>
      <name val="Arial"/>
      <family val="2"/>
    </font>
    <font>
      <i/>
      <sz val="8"/>
      <color rgb="FF555555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b/>
      <sz val="10"/>
      <color rgb="FF7D3C1A"/>
      <name val="Arial"/>
      <family val="2"/>
    </font>
    <font>
      <b/>
      <sz val="9"/>
      <color rgb="FFE8195A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1A1A1A"/>
      </patternFill>
    </fill>
    <fill>
      <patternFill patternType="solid">
        <fgColor rgb="FFE8195A"/>
        <bgColor rgb="FF993366"/>
      </patternFill>
    </fill>
    <fill>
      <patternFill patternType="solid">
        <fgColor rgb="FF1A1A1A"/>
        <bgColor rgb="FF333333"/>
      </patternFill>
    </fill>
    <fill>
      <patternFill patternType="solid">
        <fgColor rgb="FFF9F9F9"/>
        <bgColor rgb="FFF5F5F5"/>
      </patternFill>
    </fill>
    <fill>
      <patternFill patternType="solid">
        <fgColor rgb="FF7D3C1A"/>
        <bgColor rgb="FF993366"/>
      </patternFill>
    </fill>
    <fill>
      <patternFill patternType="solid">
        <fgColor rgb="FFFFFAF0"/>
        <bgColor rgb="FFF9F9F9"/>
      </patternFill>
    </fill>
    <fill>
      <patternFill patternType="solid">
        <fgColor rgb="FFFFC107"/>
        <bgColor rgb="FFFF9900"/>
      </patternFill>
    </fill>
    <fill>
      <patternFill patternType="solid">
        <fgColor rgb="FFF5F5F5"/>
        <bgColor rgb="FFF9F9F9"/>
      </patternFill>
    </fill>
    <fill>
      <patternFill patternType="solid">
        <fgColor rgb="FFFFF4CC"/>
        <bgColor rgb="FFFFFAF0"/>
      </patternFill>
    </fill>
    <fill>
      <patternFill patternType="solid">
        <fgColor rgb="FFFFFFFF"/>
        <bgColor rgb="FFF9F9F9"/>
      </patternFill>
    </fill>
    <fill>
      <patternFill patternType="solid">
        <fgColor rgb="FFFDE8EE"/>
        <bgColor rgb="FFF5F5F5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E8195A"/>
      </top>
      <bottom style="thin">
        <color rgb="FFD0D0D0"/>
      </bottom>
      <diagonal/>
    </border>
    <border>
      <left style="medium">
        <color rgb="FFFFC107"/>
      </left>
      <right style="medium">
        <color rgb="FFFFC107"/>
      </right>
      <top style="medium">
        <color rgb="FFFFC107"/>
      </top>
      <bottom style="medium">
        <color rgb="FFFFC107"/>
      </bottom>
      <diagonal/>
    </border>
    <border>
      <left style="thin">
        <color rgb="FFD0D0D0"/>
      </left>
      <right style="thin">
        <color rgb="FFD0D0D0"/>
      </right>
      <top style="thin">
        <color rgb="FFE8195A"/>
      </top>
      <bottom style="thin">
        <color rgb="FFE8195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1"/>
    <xf numFmtId="0" fontId="3" fillId="4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indent="1"/>
    </xf>
    <xf numFmtId="0" fontId="8" fillId="9" borderId="1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 indent="1"/>
    </xf>
    <xf numFmtId="0" fontId="8" fillId="11" borderId="1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left" vertical="center" indent="1"/>
    </xf>
    <xf numFmtId="0" fontId="7" fillId="12" borderId="4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0" fontId="4" fillId="4" borderId="0" xfId="0" applyFont="1" applyFill="1" applyAlignment="1">
      <alignment vertical="center"/>
    </xf>
    <xf numFmtId="0" fontId="5" fillId="5" borderId="0" xfId="0" applyFont="1" applyFill="1" applyAlignment="1">
      <alignment vertical="center" indent="1"/>
    </xf>
    <xf numFmtId="0" fontId="4" fillId="6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4" borderId="0" xfId="0" applyFont="1" applyFill="1" applyAlignment="1">
      <alignment vertical="center"/>
    </xf>
  </cellXfs>
  <cellStyles count="1">
    <cellStyle name="Standard" xfId="0" builtinId="0"/>
  </cellStyles>
  <dxfs count="4">
    <dxf>
      <font>
        <sz val="9"/>
        <color rgb="FF2E7D32"/>
        <name val="Arial"/>
        <charset val="1"/>
      </font>
      <fill>
        <patternFill>
          <bgColor rgb="FFE8F5E9"/>
        </patternFill>
      </fill>
    </dxf>
    <dxf>
      <font>
        <b/>
        <sz val="10"/>
        <color rgb="FFFFFFFF"/>
        <name val="Arial"/>
        <charset val="1"/>
      </font>
      <fill>
        <patternFill>
          <bgColor rgb="FFE8195A"/>
        </patternFill>
      </fill>
    </dxf>
    <dxf>
      <fill>
        <patternFill>
          <bgColor rgb="FFFDE8EE"/>
        </patternFill>
      </fill>
    </dxf>
    <dxf>
      <fill>
        <patternFill>
          <bgColor rgb="FFFDE8E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8195A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4CC"/>
      <rgbColor rgb="FFE8F5E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9F9F9"/>
      <rgbColor rgb="FFFFFAF0"/>
      <rgbColor rgb="FF99CCFF"/>
      <rgbColor rgb="FFFF99CC"/>
      <rgbColor rgb="FFCC99FF"/>
      <rgbColor rgb="FFFDE8EE"/>
      <rgbColor rgb="FF3366FF"/>
      <rgbColor rgb="FF33CCCC"/>
      <rgbColor rgb="FF99CC00"/>
      <rgbColor rgb="FFFFC107"/>
      <rgbColor rgb="FFFF9900"/>
      <rgbColor rgb="FFFF6600"/>
      <rgbColor rgb="FF555555"/>
      <rgbColor rgb="FF969696"/>
      <rgbColor rgb="FF003366"/>
      <rgbColor rgb="FF2E7D32"/>
      <rgbColor rgb="FF003300"/>
      <rgbColor rgb="FF1A1A1A"/>
      <rgbColor rgb="FF7D3C1A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tabSelected="1" zoomScale="131" zoomScaleNormal="100" workbookViewId="0">
      <pane ySplit="10" topLeftCell="A11" activePane="bottomLeft" state="frozen"/>
      <selection pane="bottomLeft" activeCell="I17" sqref="I17"/>
    </sheetView>
  </sheetViews>
  <sheetFormatPr baseColWidth="10" defaultColWidth="8.6640625" defaultRowHeight="15" customHeight="1" x14ac:dyDescent="0.2"/>
  <cols>
    <col min="1" max="1" width="24" customWidth="1"/>
    <col min="2" max="2" width="9" customWidth="1"/>
    <col min="3" max="3" width="16" customWidth="1"/>
    <col min="4" max="4" width="14" customWidth="1"/>
    <col min="5" max="5" width="16" customWidth="1"/>
    <col min="6" max="7" width="13" customWidth="1"/>
  </cols>
  <sheetData>
    <row r="1" spans="1:7" ht="43.5" customHeight="1" x14ac:dyDescent="0.2">
      <c r="A1" s="18" t="s">
        <v>37</v>
      </c>
      <c r="B1" s="18"/>
      <c r="C1" s="18"/>
      <c r="D1" s="18"/>
      <c r="E1" s="18"/>
      <c r="F1" s="18"/>
      <c r="G1" s="18"/>
    </row>
    <row r="2" spans="1:7" ht="18" customHeight="1" x14ac:dyDescent="0.2">
      <c r="A2" s="19" t="s">
        <v>0</v>
      </c>
      <c r="B2" s="19"/>
      <c r="C2" s="19"/>
      <c r="D2" s="19"/>
      <c r="E2" s="19"/>
      <c r="F2" s="19"/>
      <c r="G2" s="19"/>
    </row>
    <row r="3" spans="1:7" ht="3.75" customHeight="1" x14ac:dyDescent="0.2">
      <c r="A3" s="1"/>
      <c r="B3" s="1"/>
      <c r="C3" s="1"/>
      <c r="D3" s="1"/>
      <c r="E3" s="1"/>
      <c r="F3" s="1"/>
      <c r="G3" s="1"/>
    </row>
    <row r="4" spans="1:7" ht="15.75" customHeight="1" x14ac:dyDescent="0.2">
      <c r="A4" s="20" t="s">
        <v>1</v>
      </c>
      <c r="B4" s="20"/>
      <c r="C4" s="20"/>
      <c r="D4" s="20"/>
      <c r="E4" s="20"/>
      <c r="F4" s="20"/>
      <c r="G4" s="20"/>
    </row>
    <row r="5" spans="1:7" ht="19.5" customHeight="1" x14ac:dyDescent="0.2">
      <c r="A5" s="14" t="s">
        <v>2</v>
      </c>
      <c r="B5" s="14"/>
      <c r="C5" s="15" t="s">
        <v>3</v>
      </c>
      <c r="D5" s="15"/>
      <c r="E5" s="15"/>
      <c r="F5" s="15"/>
      <c r="G5" s="15"/>
    </row>
    <row r="6" spans="1:7" ht="19.5" customHeight="1" x14ac:dyDescent="0.2">
      <c r="A6" s="14" t="s">
        <v>4</v>
      </c>
      <c r="B6" s="14"/>
      <c r="C6" s="15" t="s">
        <v>38</v>
      </c>
      <c r="D6" s="15"/>
      <c r="E6" s="15"/>
      <c r="F6" s="15"/>
      <c r="G6" s="15"/>
    </row>
    <row r="7" spans="1:7" ht="19.5" customHeight="1" x14ac:dyDescent="0.2">
      <c r="A7" s="16" t="s">
        <v>5</v>
      </c>
      <c r="B7" s="16"/>
      <c r="C7" s="15" t="s">
        <v>35</v>
      </c>
      <c r="D7" s="15"/>
      <c r="E7" s="15"/>
      <c r="F7" s="15"/>
      <c r="G7" s="15"/>
    </row>
    <row r="8" spans="1:7" ht="18" customHeight="1" x14ac:dyDescent="0.2">
      <c r="A8" s="17" t="s">
        <v>6</v>
      </c>
      <c r="B8" s="17"/>
      <c r="C8" s="17"/>
      <c r="D8" s="17"/>
      <c r="E8" s="17"/>
      <c r="F8" s="17"/>
      <c r="G8" s="17"/>
    </row>
    <row r="9" spans="1:7" ht="6" customHeight="1" x14ac:dyDescent="0.2"/>
    <row r="10" spans="1:7" ht="39.75" customHeight="1" x14ac:dyDescent="0.2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3" t="s">
        <v>36</v>
      </c>
      <c r="G10" s="4" t="s">
        <v>12</v>
      </c>
    </row>
    <row r="11" spans="1:7" ht="21.75" customHeight="1" x14ac:dyDescent="0.2">
      <c r="A11" s="13" t="s">
        <v>13</v>
      </c>
      <c r="B11" s="13"/>
      <c r="C11" s="13"/>
      <c r="D11" s="13"/>
      <c r="E11" s="13"/>
      <c r="F11" s="13"/>
      <c r="G11" s="13"/>
    </row>
    <row r="12" spans="1:7" ht="18" customHeight="1" x14ac:dyDescent="0.2">
      <c r="A12" s="5" t="s">
        <v>14</v>
      </c>
      <c r="B12" s="6" t="s">
        <v>15</v>
      </c>
      <c r="C12" s="6">
        <v>0</v>
      </c>
      <c r="D12" s="6">
        <v>0</v>
      </c>
      <c r="E12" s="6">
        <f t="shared" ref="E12:E21" si="0">C12+D12</f>
        <v>0</v>
      </c>
      <c r="F12" s="7"/>
      <c r="G12" s="6">
        <f t="shared" ref="G12:G21" si="1">IF(E12=0,IF(F12="",1,F12+1),IF(F12="","",MAX(0,F12-E12+1)))</f>
        <v>1</v>
      </c>
    </row>
    <row r="13" spans="1:7" ht="18" customHeight="1" x14ac:dyDescent="0.2">
      <c r="A13" s="8" t="s">
        <v>16</v>
      </c>
      <c r="B13" s="9" t="s">
        <v>17</v>
      </c>
      <c r="C13" s="9">
        <v>1</v>
      </c>
      <c r="D13" s="9">
        <v>1</v>
      </c>
      <c r="E13" s="9">
        <f t="shared" si="0"/>
        <v>2</v>
      </c>
      <c r="F13" s="7">
        <v>3</v>
      </c>
      <c r="G13" s="9">
        <f t="shared" si="1"/>
        <v>2</v>
      </c>
    </row>
    <row r="14" spans="1:7" ht="18" customHeight="1" x14ac:dyDescent="0.2">
      <c r="A14" s="5" t="s">
        <v>18</v>
      </c>
      <c r="B14" s="6" t="s">
        <v>19</v>
      </c>
      <c r="C14" s="6">
        <v>2</v>
      </c>
      <c r="D14" s="6">
        <v>1</v>
      </c>
      <c r="E14" s="6">
        <f t="shared" si="0"/>
        <v>3</v>
      </c>
      <c r="F14" s="7">
        <v>2</v>
      </c>
      <c r="G14" s="6">
        <f t="shared" si="1"/>
        <v>0</v>
      </c>
    </row>
    <row r="15" spans="1:7" ht="18" customHeight="1" x14ac:dyDescent="0.2">
      <c r="A15" s="8" t="s">
        <v>20</v>
      </c>
      <c r="B15" s="9" t="s">
        <v>21</v>
      </c>
      <c r="C15" s="9">
        <v>1</v>
      </c>
      <c r="D15" s="9">
        <v>1</v>
      </c>
      <c r="E15" s="9">
        <f t="shared" si="0"/>
        <v>2</v>
      </c>
      <c r="F15" s="7">
        <v>1</v>
      </c>
      <c r="G15" s="9">
        <f t="shared" si="1"/>
        <v>0</v>
      </c>
    </row>
    <row r="16" spans="1:7" ht="18" customHeight="1" x14ac:dyDescent="0.2">
      <c r="A16" s="5" t="s">
        <v>22</v>
      </c>
      <c r="B16" s="6" t="s">
        <v>23</v>
      </c>
      <c r="C16" s="6">
        <v>2</v>
      </c>
      <c r="D16" s="6">
        <v>1</v>
      </c>
      <c r="E16" s="6">
        <f t="shared" si="0"/>
        <v>3</v>
      </c>
      <c r="F16" s="7">
        <v>3</v>
      </c>
      <c r="G16" s="6">
        <f t="shared" si="1"/>
        <v>1</v>
      </c>
    </row>
    <row r="17" spans="1:7" ht="18" customHeight="1" x14ac:dyDescent="0.2">
      <c r="A17" s="8" t="s">
        <v>24</v>
      </c>
      <c r="B17" s="9" t="s">
        <v>25</v>
      </c>
      <c r="C17" s="9">
        <v>1</v>
      </c>
      <c r="D17" s="9">
        <v>1</v>
      </c>
      <c r="E17" s="9">
        <f t="shared" si="0"/>
        <v>2</v>
      </c>
      <c r="F17" s="7">
        <v>2</v>
      </c>
      <c r="G17" s="9">
        <f t="shared" si="1"/>
        <v>1</v>
      </c>
    </row>
    <row r="18" spans="1:7" ht="18" customHeight="1" x14ac:dyDescent="0.2">
      <c r="A18" s="5" t="s">
        <v>26</v>
      </c>
      <c r="B18" s="6" t="s">
        <v>27</v>
      </c>
      <c r="C18" s="6">
        <v>1</v>
      </c>
      <c r="D18" s="6">
        <v>1</v>
      </c>
      <c r="E18" s="6">
        <f t="shared" si="0"/>
        <v>2</v>
      </c>
      <c r="F18" s="7">
        <v>1</v>
      </c>
      <c r="G18" s="6">
        <f t="shared" si="1"/>
        <v>0</v>
      </c>
    </row>
    <row r="19" spans="1:7" ht="18" customHeight="1" x14ac:dyDescent="0.2">
      <c r="A19" s="8" t="s">
        <v>28</v>
      </c>
      <c r="B19" s="9" t="s">
        <v>29</v>
      </c>
      <c r="C19" s="9">
        <v>0</v>
      </c>
      <c r="D19" s="9">
        <v>1</v>
      </c>
      <c r="E19" s="9">
        <f t="shared" si="0"/>
        <v>1</v>
      </c>
      <c r="F19" s="7">
        <v>1</v>
      </c>
      <c r="G19" s="9">
        <f t="shared" si="1"/>
        <v>1</v>
      </c>
    </row>
    <row r="20" spans="1:7" ht="18" customHeight="1" x14ac:dyDescent="0.2">
      <c r="A20" s="5" t="s">
        <v>30</v>
      </c>
      <c r="B20" s="6" t="s">
        <v>31</v>
      </c>
      <c r="C20" s="6">
        <v>1</v>
      </c>
      <c r="D20" s="6">
        <v>1</v>
      </c>
      <c r="E20" s="6">
        <f t="shared" si="0"/>
        <v>2</v>
      </c>
      <c r="F20" s="7">
        <v>2</v>
      </c>
      <c r="G20" s="6">
        <f t="shared" si="1"/>
        <v>1</v>
      </c>
    </row>
    <row r="21" spans="1:7" ht="18" customHeight="1" x14ac:dyDescent="0.2">
      <c r="A21" s="8" t="s">
        <v>32</v>
      </c>
      <c r="B21" s="9" t="s">
        <v>33</v>
      </c>
      <c r="C21" s="9">
        <v>0</v>
      </c>
      <c r="D21" s="9">
        <v>0</v>
      </c>
      <c r="E21" s="9">
        <f t="shared" si="0"/>
        <v>0</v>
      </c>
      <c r="F21" s="7"/>
      <c r="G21" s="9">
        <f t="shared" si="1"/>
        <v>1</v>
      </c>
    </row>
    <row r="22" spans="1:7" ht="19.5" customHeight="1" x14ac:dyDescent="0.2">
      <c r="A22" s="10" t="s">
        <v>34</v>
      </c>
      <c r="B22" s="11"/>
      <c r="C22" s="11">
        <f>SUM(C12:C21)</f>
        <v>9</v>
      </c>
      <c r="D22" s="11">
        <f>SUM(D12:D21)</f>
        <v>8</v>
      </c>
      <c r="E22" s="11">
        <f>SUM(E12:E21)</f>
        <v>17</v>
      </c>
      <c r="F22" s="11"/>
      <c r="G22" s="12">
        <f>SUMIF(G12:G21,"&lt;&gt;"&amp;"",G12:G21)</f>
        <v>8</v>
      </c>
    </row>
  </sheetData>
  <mergeCells count="11">
    <mergeCell ref="A1:G1"/>
    <mergeCell ref="A2:G2"/>
    <mergeCell ref="A4:G4"/>
    <mergeCell ref="A5:B5"/>
    <mergeCell ref="C5:G5"/>
    <mergeCell ref="A11:G11"/>
    <mergeCell ref="A6:B6"/>
    <mergeCell ref="C6:G6"/>
    <mergeCell ref="A7:B7"/>
    <mergeCell ref="C7:G7"/>
    <mergeCell ref="A8:G8"/>
  </mergeCells>
  <conditionalFormatting sqref="A23:E24">
    <cfRule type="expression" dxfId="3" priority="6">
      <formula>AND(#REF!&lt;&gt;"",#REF!&gt;0)</formula>
    </cfRule>
  </conditionalFormatting>
  <conditionalFormatting sqref="A11:G22">
    <cfRule type="expression" dxfId="2" priority="2">
      <formula>AND($G11&lt;&gt;"",$G11&gt;0)</formula>
    </cfRule>
  </conditionalFormatting>
  <conditionalFormatting sqref="G11:G22">
    <cfRule type="cellIs" dxfId="1" priority="3" operator="greaterThan">
      <formula>0</formula>
    </cfRule>
    <cfRule type="cellIs" dxfId="0" priority="4" operator="equal">
      <formula>0</formula>
    </cfRule>
  </conditionalFormatting>
  <pageMargins left="0.75" right="0.75" top="1" bottom="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Einkaufsplanung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Rafael Schober</cp:lastModifiedBy>
  <cp:revision>0</cp:revision>
  <dcterms:created xsi:type="dcterms:W3CDTF">2026-03-24T11:59:38Z</dcterms:created>
  <dcterms:modified xsi:type="dcterms:W3CDTF">2026-03-25T19:51:11Z</dcterms:modified>
  <dc:language>en-US</dc:language>
</cp:coreProperties>
</file>